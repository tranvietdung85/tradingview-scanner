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dingview\"/>
    </mc:Choice>
  </mc:AlternateContent>
  <xr:revisionPtr revIDLastSave="0" documentId="8_{B4E10AC5-3653-4455-98FF-1EE9292FFDA9}" xr6:coauthVersionLast="47" xr6:coauthVersionMax="47" xr10:uidLastSave="{00000000-0000-0000-0000-000000000000}"/>
  <bookViews>
    <workbookView xWindow="-108" yWindow="-108" windowWidth="23256" windowHeight="12456" xr2:uid="{F0E28B4F-D1A7-470E-8007-1842E839F3AB}"/>
  </bookViews>
  <sheets>
    <sheet name="hits" sheetId="2" r:id="rId1"/>
    <sheet name="Sheet1" sheetId="1" r:id="rId2"/>
  </sheets>
  <definedNames>
    <definedName name="ExternalData_1" localSheetId="0" hidden="1">hits!$A$1:$E$60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0" i="2" l="1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FB91AF-1CCD-4E45-822E-C3EE2744D03F}" keepAlive="1" name="Query - hits" description="Connection to the 'hits' query in the workbook." type="5" refreshedVersion="8" background="1" saveData="1">
    <dbPr connection="Provider=Microsoft.Mashup.OleDb.1;Data Source=$Workbook$;Location=hits;Extended Properties=&quot;&quot;" command="SELECT * FROM [hits]"/>
  </connection>
</connections>
</file>

<file path=xl/sharedStrings.xml><?xml version="1.0" encoding="utf-8"?>
<sst xmlns="http://schemas.openxmlformats.org/spreadsheetml/2006/main" count="102" uniqueCount="43">
  <si>
    <t>symbol</t>
  </si>
  <si>
    <t>date</t>
  </si>
  <si>
    <t>ab_w</t>
  </si>
  <si>
    <t>volume</t>
  </si>
  <si>
    <t>vol_ma</t>
  </si>
  <si>
    <t>DNTUSDT</t>
  </si>
  <si>
    <t>MIRUSDT</t>
  </si>
  <si>
    <t>NEBLUSDT</t>
  </si>
  <si>
    <t>WTCUSDT</t>
  </si>
  <si>
    <t>DREPUSDT</t>
  </si>
  <si>
    <t>1000SATSUSDT</t>
  </si>
  <si>
    <t>COWUSDT</t>
  </si>
  <si>
    <t>UMAUSDT</t>
  </si>
  <si>
    <t>XVSUSDT</t>
  </si>
  <si>
    <t>CELRUSDT</t>
  </si>
  <si>
    <t>ACEUSDT</t>
  </si>
  <si>
    <t>DUSDT</t>
  </si>
  <si>
    <t>PIVXUSDT</t>
  </si>
  <si>
    <t>SOLVUSDT</t>
  </si>
  <si>
    <t>JTOUSDT</t>
  </si>
  <si>
    <t>MLNUSDT</t>
  </si>
  <si>
    <t>FILUSDT</t>
  </si>
  <si>
    <t>LPTUSDT</t>
  </si>
  <si>
    <t>LUNCUSDT</t>
  </si>
  <si>
    <t>APEUSDT</t>
  </si>
  <si>
    <t>BOMEUSDT</t>
  </si>
  <si>
    <t>SSVUSDT</t>
  </si>
  <si>
    <t>PEOPLEUSDT</t>
  </si>
  <si>
    <t>ROSEUSDT</t>
  </si>
  <si>
    <t>CATIUSDT</t>
  </si>
  <si>
    <t>RDNTUSDT</t>
  </si>
  <si>
    <t>BELUSDT</t>
  </si>
  <si>
    <t>BANANAS31USDT</t>
  </si>
  <si>
    <t>ARKUSDT</t>
  </si>
  <si>
    <t>ARPAUSDT</t>
  </si>
  <si>
    <t>YGGUSDT</t>
  </si>
  <si>
    <t>FARMUSDT</t>
  </si>
  <si>
    <t>DEGOUSDT</t>
  </si>
  <si>
    <t>DCRUSDT</t>
  </si>
  <si>
    <t>SCRTUSDT</t>
  </si>
  <si>
    <t>USDPUSDT</t>
  </si>
  <si>
    <t>STRKUSDT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</si>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</sst>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font>
        <color rgb="FF9C0006"/>
      </font>
      <fill>
        <patternFill>
          <bgColor rgb="FFFFC7CE"/>
        </patternFill>
      </fill>
    </dxf>
    <dxf>
      <numFmt numFmtId="27" formatCode="dd/mm/yyyy\ 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D8B2016-8D85-475F-9208-877A9B998532}" autoFormatId="16" applyNumberFormats="0" applyBorderFormats="0" applyFontFormats="0" applyPatternFormats="0" applyAlignmentFormats="0" applyWidthHeightFormats="0">
  <queryTableRefresh nextId="7" unboundColumnsRight="1">
    <queryTableFields count="6">
      <queryTableField id="1" name="symbol" tableColumnId="1"/>
      <queryTableField id="2" name="date" tableColumnId="2"/>
      <queryTableField id="3" name="ab_w" tableColumnId="3"/>
      <queryTableField id="4" name="volume" tableColumnId="4"/>
      <queryTableField id="5" name="vol_ma" tableColumnId="5"/>
      <queryTableField id="6" dataBound="0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1BB063-9BBD-4483-A885-AB1F4F49C021}" name="hits" displayName="hits" ref="A1:F60" tableType="queryTable" totalsRowShown="0">
  <autoFilter ref="A1:F60" xr:uid="{681BB063-9BBD-4483-A885-AB1F4F49C021}"/>
  <tableColumns count="6">
    <tableColumn id="1" xr3:uid="{15ED577F-9A1D-44CD-93DC-18B1B4A10388}" uniqueName="1" name="symbol" queryTableFieldId="1" dataDxfId="3"/>
    <tableColumn id="2" xr3:uid="{14B4EF08-2483-4BBB-887A-16D2AE4A3722}" uniqueName="2" name="date" queryTableFieldId="2" dataDxfId="2"/>
    <tableColumn id="3" xr3:uid="{66E7E04F-6070-4D27-992D-EAD3090D41F3}" uniqueName="3" name="ab_w" queryTableFieldId="3"/>
    <tableColumn id="4" xr3:uid="{5490740B-D423-4327-9DC4-F251C60D7A4D}" uniqueName="4" name="volume" queryTableFieldId="4"/>
    <tableColumn id="5" xr3:uid="{02110B50-0C80-48F3-8306-C2B3D13BB10E}" uniqueName="5" name="vol_ma" queryTableFieldId="5"/>
    <tableColumn id="6" xr3:uid="{1AE72BDA-439B-440B-97D3-5BADE484414E}" uniqueName="6" name="Column1" queryTableFieldId="6" dataDxfId="0">
      <calculatedColumnFormula>hits[[#This Row],[volume]]/hits[[#This Row],[vol_ma]]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1B0D8-4C55-4B66-B4E4-648D52B33B85}">
  <dimension ref="A1:G60"/>
  <sheetViews>
    <sheetView tabSelected="1" workbookViewId="0">
      <selection activeCell="F2" sqref="F2"/>
    </sheetView>
  </sheetViews>
  <sheetFormatPr defaultRowHeight="13.8" x14ac:dyDescent="0.25"/>
  <cols>
    <col min="1" max="1" width="17.88671875" bestFit="1" customWidth="1"/>
    <col min="2" max="2" width="14.21875" bestFit="1" customWidth="1"/>
    <col min="3" max="3" width="12" bestFit="1" customWidth="1"/>
    <col min="4" max="5" width="12.33203125" bestFit="1" customWidth="1"/>
    <col min="7" max="7" width="17.88671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42</v>
      </c>
    </row>
    <row r="2" spans="1:7" x14ac:dyDescent="0.25">
      <c r="A2" s="1" t="s">
        <v>5</v>
      </c>
      <c r="B2" s="2">
        <v>44847.291666666664</v>
      </c>
      <c r="C2">
        <v>0.99456734283703541</v>
      </c>
      <c r="D2">
        <v>60617936</v>
      </c>
      <c r="E2">
        <v>6885796.75</v>
      </c>
      <c r="F2">
        <f>hits[[#This Row],[volume]]/hits[[#This Row],[vol_ma]]</f>
        <v>8.8033292588835135</v>
      </c>
      <c r="G2" t="s">
        <v>5</v>
      </c>
    </row>
    <row r="3" spans="1:7" x14ac:dyDescent="0.25">
      <c r="A3" s="1" t="s">
        <v>6</v>
      </c>
      <c r="B3" s="2">
        <v>44883.291666666664</v>
      </c>
      <c r="C3">
        <v>0.92685635621902007</v>
      </c>
      <c r="D3">
        <v>111517805.40000001</v>
      </c>
      <c r="E3">
        <v>5149142.3499999996</v>
      </c>
      <c r="F3">
        <f>hits[[#This Row],[volume]]/hits[[#This Row],[vol_ma]]</f>
        <v>21.657549514046746</v>
      </c>
      <c r="G3" t="s">
        <v>6</v>
      </c>
    </row>
    <row r="4" spans="1:7" x14ac:dyDescent="0.25">
      <c r="A4" s="1" t="s">
        <v>6</v>
      </c>
      <c r="B4" s="2">
        <v>44921.291666666664</v>
      </c>
      <c r="C4">
        <v>0.59404854377651606</v>
      </c>
      <c r="D4">
        <v>190074091.30000001</v>
      </c>
      <c r="E4">
        <v>10087881.630000001</v>
      </c>
      <c r="F4">
        <f>hits[[#This Row],[volume]]/hits[[#This Row],[vol_ma]]</f>
        <v>18.841824108517024</v>
      </c>
      <c r="G4" t="s">
        <v>7</v>
      </c>
    </row>
    <row r="5" spans="1:7" x14ac:dyDescent="0.25">
      <c r="A5" s="1" t="s">
        <v>7</v>
      </c>
      <c r="B5" s="2">
        <v>45006.291666666664</v>
      </c>
      <c r="C5">
        <v>0.8910947374094178</v>
      </c>
      <c r="D5">
        <v>4225181.5</v>
      </c>
      <c r="E5">
        <v>534196.27500000002</v>
      </c>
      <c r="F5">
        <f>hits[[#This Row],[volume]]/hits[[#This Row],[vol_ma]]</f>
        <v>7.9094177509942387</v>
      </c>
      <c r="G5" t="s">
        <v>8</v>
      </c>
    </row>
    <row r="6" spans="1:7" x14ac:dyDescent="0.25">
      <c r="A6" s="1" t="s">
        <v>8</v>
      </c>
      <c r="B6" s="2">
        <v>45257.291666666664</v>
      </c>
      <c r="C6">
        <v>0.65042918807315642</v>
      </c>
      <c r="D6">
        <v>106735567</v>
      </c>
      <c r="E6">
        <v>5749217.0999999996</v>
      </c>
      <c r="F6">
        <f>hits[[#This Row],[volume]]/hits[[#This Row],[vol_ma]]</f>
        <v>18.565235082181886</v>
      </c>
      <c r="G6" t="s">
        <v>9</v>
      </c>
    </row>
    <row r="7" spans="1:7" x14ac:dyDescent="0.25">
      <c r="A7" s="1" t="s">
        <v>8</v>
      </c>
      <c r="B7" s="2">
        <v>45258.291666666664</v>
      </c>
      <c r="C7">
        <v>0.65042918807315642</v>
      </c>
      <c r="D7">
        <v>84848708</v>
      </c>
      <c r="E7">
        <v>10941783.4</v>
      </c>
      <c r="F7">
        <f>hits[[#This Row],[volume]]/hits[[#This Row],[vol_ma]]</f>
        <v>7.7545592796143268</v>
      </c>
      <c r="G7" t="s">
        <v>10</v>
      </c>
    </row>
    <row r="8" spans="1:7" x14ac:dyDescent="0.25">
      <c r="A8" s="1" t="s">
        <v>8</v>
      </c>
      <c r="B8" s="2">
        <v>45260.291666666664</v>
      </c>
      <c r="C8">
        <v>0.65042918807315642</v>
      </c>
      <c r="D8">
        <v>710021068</v>
      </c>
      <c r="E8">
        <v>17797485.550000001</v>
      </c>
      <c r="F8">
        <f>hits[[#This Row],[volume]]/hits[[#This Row],[vol_ma]]</f>
        <v>39.894459585612644</v>
      </c>
      <c r="G8" t="s">
        <v>11</v>
      </c>
    </row>
    <row r="9" spans="1:7" x14ac:dyDescent="0.25">
      <c r="A9" s="1" t="s">
        <v>8</v>
      </c>
      <c r="B9" s="2">
        <v>45261.291666666664</v>
      </c>
      <c r="C9">
        <v>0.65042918807315642</v>
      </c>
      <c r="D9">
        <v>340040624</v>
      </c>
      <c r="E9">
        <v>52906490.5</v>
      </c>
      <c r="F9">
        <f>hits[[#This Row],[volume]]/hits[[#This Row],[vol_ma]]</f>
        <v>6.4272005341197218</v>
      </c>
      <c r="G9" t="s">
        <v>12</v>
      </c>
    </row>
    <row r="10" spans="1:7" x14ac:dyDescent="0.25">
      <c r="A10" s="1" t="s">
        <v>9</v>
      </c>
      <c r="B10" s="2">
        <v>45361.291666666664</v>
      </c>
      <c r="C10">
        <v>0.83195784758547775</v>
      </c>
      <c r="D10">
        <v>119724925</v>
      </c>
      <c r="E10">
        <v>3426312.25</v>
      </c>
      <c r="F10">
        <f>hits[[#This Row],[volume]]/hits[[#This Row],[vol_ma]]</f>
        <v>34.942794545359959</v>
      </c>
      <c r="G10" t="s">
        <v>13</v>
      </c>
    </row>
    <row r="11" spans="1:7" x14ac:dyDescent="0.25">
      <c r="A11" s="1" t="s">
        <v>10</v>
      </c>
      <c r="B11" s="2">
        <v>45926.291666666664</v>
      </c>
      <c r="C11">
        <v>0.90855546190320402</v>
      </c>
      <c r="D11">
        <v>1528988144775</v>
      </c>
      <c r="E11">
        <v>233716402202.54999</v>
      </c>
      <c r="F11">
        <f>hits[[#This Row],[volume]]/hits[[#This Row],[vol_ma]]</f>
        <v>6.5420660696715016</v>
      </c>
      <c r="G11" t="s">
        <v>14</v>
      </c>
    </row>
    <row r="12" spans="1:7" x14ac:dyDescent="0.25">
      <c r="A12" s="1" t="s">
        <v>10</v>
      </c>
      <c r="B12" s="2">
        <v>45927.291666666664</v>
      </c>
      <c r="C12">
        <v>0.90855546190320402</v>
      </c>
      <c r="D12">
        <v>2061421060230</v>
      </c>
      <c r="E12">
        <v>308032095952.34998</v>
      </c>
      <c r="F12">
        <f>hits[[#This Row],[volume]]/hits[[#This Row],[vol_ma]]</f>
        <v>6.6922281389433032</v>
      </c>
      <c r="G12" t="s">
        <v>15</v>
      </c>
    </row>
    <row r="13" spans="1:7" x14ac:dyDescent="0.25">
      <c r="A13" s="1" t="s">
        <v>11</v>
      </c>
      <c r="B13" s="2">
        <v>45928.291666666664</v>
      </c>
      <c r="C13">
        <v>0.95259543347943065</v>
      </c>
      <c r="D13">
        <v>45882011.100000001</v>
      </c>
      <c r="E13">
        <v>5389505.2549999999</v>
      </c>
      <c r="F13">
        <f>hits[[#This Row],[volume]]/hits[[#This Row],[vol_ma]]</f>
        <v>8.5132139090937766</v>
      </c>
      <c r="G13" t="s">
        <v>16</v>
      </c>
    </row>
    <row r="14" spans="1:7" x14ac:dyDescent="0.25">
      <c r="A14" s="1" t="s">
        <v>12</v>
      </c>
      <c r="B14" s="2">
        <v>45937.291666666664</v>
      </c>
      <c r="C14">
        <v>0.76605357225452453</v>
      </c>
      <c r="D14">
        <v>4321478.9000000004</v>
      </c>
      <c r="E14">
        <v>715360.245</v>
      </c>
      <c r="F14">
        <f>hits[[#This Row],[volume]]/hits[[#This Row],[vol_ma]]</f>
        <v>6.0409827498870872</v>
      </c>
      <c r="G14" t="s">
        <v>17</v>
      </c>
    </row>
    <row r="15" spans="1:7" x14ac:dyDescent="0.25">
      <c r="A15" s="1" t="s">
        <v>13</v>
      </c>
      <c r="B15" s="2">
        <v>45938.291666666664</v>
      </c>
      <c r="C15">
        <v>0.81820332435014875</v>
      </c>
      <c r="D15">
        <v>1713104.7</v>
      </c>
      <c r="E15">
        <v>268590.56200000003</v>
      </c>
      <c r="F15">
        <f>hits[[#This Row],[volume]]/hits[[#This Row],[vol_ma]]</f>
        <v>6.37812694252451</v>
      </c>
      <c r="G15" t="s">
        <v>18</v>
      </c>
    </row>
    <row r="16" spans="1:7" x14ac:dyDescent="0.25">
      <c r="A16" s="1" t="s">
        <v>14</v>
      </c>
      <c r="B16" s="2">
        <v>45939.291666666664</v>
      </c>
      <c r="C16">
        <v>0.97377105908303918</v>
      </c>
      <c r="D16">
        <v>712036602.10000002</v>
      </c>
      <c r="E16">
        <v>74139688.974999994</v>
      </c>
      <c r="F16">
        <f>hits[[#This Row],[volume]]/hits[[#This Row],[vol_ma]]</f>
        <v>9.6039869055843994</v>
      </c>
      <c r="G16" t="s">
        <v>19</v>
      </c>
    </row>
    <row r="17" spans="1:7" x14ac:dyDescent="0.25">
      <c r="A17" s="1" t="s">
        <v>15</v>
      </c>
      <c r="B17" s="2">
        <v>45939.291666666664</v>
      </c>
      <c r="C17">
        <v>0.84282957130267533</v>
      </c>
      <c r="D17">
        <v>27195990.5</v>
      </c>
      <c r="E17">
        <v>2288077.46</v>
      </c>
      <c r="F17">
        <f>hits[[#This Row],[volume]]/hits[[#This Row],[vol_ma]]</f>
        <v>11.885957086435353</v>
      </c>
      <c r="G17" t="s">
        <v>20</v>
      </c>
    </row>
    <row r="18" spans="1:7" x14ac:dyDescent="0.25">
      <c r="A18" s="1" t="s">
        <v>16</v>
      </c>
      <c r="B18" s="2">
        <v>45939.291666666664</v>
      </c>
      <c r="C18">
        <v>0.82782860452135176</v>
      </c>
      <c r="D18">
        <v>107678185</v>
      </c>
      <c r="E18">
        <v>17045023.75</v>
      </c>
      <c r="F18">
        <f>hits[[#This Row],[volume]]/hits[[#This Row],[vol_ma]]</f>
        <v>6.3172798453859587</v>
      </c>
      <c r="G18" t="s">
        <v>21</v>
      </c>
    </row>
    <row r="19" spans="1:7" x14ac:dyDescent="0.25">
      <c r="A19" s="1" t="s">
        <v>17</v>
      </c>
      <c r="B19" s="2">
        <v>45939.291666666664</v>
      </c>
      <c r="C19">
        <v>0.89041691134957268</v>
      </c>
      <c r="D19">
        <v>90301073</v>
      </c>
      <c r="E19">
        <v>6995890.2999999998</v>
      </c>
      <c r="F19">
        <f>hits[[#This Row],[volume]]/hits[[#This Row],[vol_ma]]</f>
        <v>12.907731414827932</v>
      </c>
      <c r="G19" t="s">
        <v>22</v>
      </c>
    </row>
    <row r="20" spans="1:7" x14ac:dyDescent="0.25">
      <c r="A20" s="1" t="s">
        <v>14</v>
      </c>
      <c r="B20" s="2">
        <v>45940.291666666664</v>
      </c>
      <c r="C20">
        <v>0.97377105908303918</v>
      </c>
      <c r="D20">
        <v>669461524.70000005</v>
      </c>
      <c r="E20">
        <v>105191789.44000001</v>
      </c>
      <c r="F20">
        <f>hits[[#This Row],[volume]]/hits[[#This Row],[vol_ma]]</f>
        <v>6.3641994138891604</v>
      </c>
      <c r="G20" t="s">
        <v>23</v>
      </c>
    </row>
    <row r="21" spans="1:7" x14ac:dyDescent="0.25">
      <c r="A21" s="1" t="s">
        <v>18</v>
      </c>
      <c r="B21" s="2">
        <v>45940.291666666664</v>
      </c>
      <c r="C21">
        <v>0.60741352782233604</v>
      </c>
      <c r="D21">
        <v>1213883282</v>
      </c>
      <c r="E21">
        <v>84506992.349999994</v>
      </c>
      <c r="F21">
        <f>hits[[#This Row],[volume]]/hits[[#This Row],[vol_ma]]</f>
        <v>14.364293986141373</v>
      </c>
      <c r="G21" t="s">
        <v>24</v>
      </c>
    </row>
    <row r="22" spans="1:7" x14ac:dyDescent="0.25">
      <c r="A22" s="1" t="s">
        <v>19</v>
      </c>
      <c r="B22" s="2">
        <v>45940.291666666664</v>
      </c>
      <c r="C22">
        <v>0.91314728068689077</v>
      </c>
      <c r="D22">
        <v>14593815.4</v>
      </c>
      <c r="E22">
        <v>1991895.2600000002</v>
      </c>
      <c r="F22">
        <f>hits[[#This Row],[volume]]/hits[[#This Row],[vol_ma]]</f>
        <v>7.3265977850662685</v>
      </c>
      <c r="G22" t="s">
        <v>25</v>
      </c>
    </row>
    <row r="23" spans="1:7" x14ac:dyDescent="0.25">
      <c r="A23" s="1" t="s">
        <v>20</v>
      </c>
      <c r="B23" s="2">
        <v>45940.291666666664</v>
      </c>
      <c r="C23">
        <v>0.78017814413848541</v>
      </c>
      <c r="D23">
        <v>542773.30099999998</v>
      </c>
      <c r="E23">
        <v>62967.491350000004</v>
      </c>
      <c r="F23">
        <f>hits[[#This Row],[volume]]/hits[[#This Row],[vol_ma]]</f>
        <v>8.619897178101569</v>
      </c>
      <c r="G23" t="s">
        <v>26</v>
      </c>
    </row>
    <row r="24" spans="1:7" x14ac:dyDescent="0.25">
      <c r="A24" s="1" t="s">
        <v>15</v>
      </c>
      <c r="B24" s="2">
        <v>45940.291666666664</v>
      </c>
      <c r="C24">
        <v>0.84282957130267533</v>
      </c>
      <c r="D24">
        <v>21960795.800000001</v>
      </c>
      <c r="E24">
        <v>3508275.6549999998</v>
      </c>
      <c r="F24">
        <f>hits[[#This Row],[volume]]/hits[[#This Row],[vol_ma]]</f>
        <v>6.2597121662037702</v>
      </c>
      <c r="G24" t="s">
        <v>27</v>
      </c>
    </row>
    <row r="25" spans="1:7" x14ac:dyDescent="0.25">
      <c r="A25" s="1" t="s">
        <v>21</v>
      </c>
      <c r="B25" s="2">
        <v>45940.291666666664</v>
      </c>
      <c r="C25">
        <v>0.99502561518425814</v>
      </c>
      <c r="D25">
        <v>72607156.780000001</v>
      </c>
      <c r="E25">
        <v>5909584.3829999994</v>
      </c>
      <c r="F25">
        <f>hits[[#This Row],[volume]]/hits[[#This Row],[vol_ma]]</f>
        <v>12.286338949464495</v>
      </c>
      <c r="G25" t="s">
        <v>28</v>
      </c>
    </row>
    <row r="26" spans="1:7" x14ac:dyDescent="0.25">
      <c r="A26" s="1" t="s">
        <v>22</v>
      </c>
      <c r="B26" s="2">
        <v>45940.291666666664</v>
      </c>
      <c r="C26">
        <v>0.81646721991661675</v>
      </c>
      <c r="D26">
        <v>2348082.6</v>
      </c>
      <c r="E26">
        <v>388330.4975</v>
      </c>
      <c r="F26">
        <f>hits[[#This Row],[volume]]/hits[[#This Row],[vol_ma]]</f>
        <v>6.0466087910079738</v>
      </c>
      <c r="G26" t="s">
        <v>29</v>
      </c>
    </row>
    <row r="27" spans="1:7" x14ac:dyDescent="0.25">
      <c r="A27" s="1" t="s">
        <v>23</v>
      </c>
      <c r="B27" s="2">
        <v>45940.291666666664</v>
      </c>
      <c r="C27">
        <v>0.95428242856221868</v>
      </c>
      <c r="D27">
        <v>322350719016.84003</v>
      </c>
      <c r="E27">
        <v>38615569186.405502</v>
      </c>
      <c r="F27">
        <f>hits[[#This Row],[volume]]/hits[[#This Row],[vol_ma]]</f>
        <v>8.3476878836301776</v>
      </c>
      <c r="G27" t="s">
        <v>30</v>
      </c>
    </row>
    <row r="28" spans="1:7" x14ac:dyDescent="0.25">
      <c r="A28" s="1" t="s">
        <v>24</v>
      </c>
      <c r="B28" s="2">
        <v>45940.291666666664</v>
      </c>
      <c r="C28">
        <v>0.95095342355756185</v>
      </c>
      <c r="D28">
        <v>51582052.270000003</v>
      </c>
      <c r="E28">
        <v>6693413.0030000005</v>
      </c>
      <c r="F28">
        <f>hits[[#This Row],[volume]]/hits[[#This Row],[vol_ma]]</f>
        <v>7.7063901849296954</v>
      </c>
      <c r="G28" t="s">
        <v>31</v>
      </c>
    </row>
    <row r="29" spans="1:7" x14ac:dyDescent="0.25">
      <c r="A29" s="1" t="s">
        <v>25</v>
      </c>
      <c r="B29" s="2">
        <v>45940.291666666664</v>
      </c>
      <c r="C29">
        <v>0.98316970419626748</v>
      </c>
      <c r="D29">
        <v>17494359314</v>
      </c>
      <c r="E29">
        <v>2493481040.4499998</v>
      </c>
      <c r="F29">
        <f>hits[[#This Row],[volume]]/hits[[#This Row],[vol_ma]]</f>
        <v>7.0160386344236185</v>
      </c>
      <c r="G29" t="s">
        <v>32</v>
      </c>
    </row>
    <row r="30" spans="1:7" x14ac:dyDescent="0.25">
      <c r="A30" s="1" t="s">
        <v>17</v>
      </c>
      <c r="B30" s="2">
        <v>45940.291666666664</v>
      </c>
      <c r="C30">
        <v>0.89041691134957268</v>
      </c>
      <c r="D30">
        <v>164864428</v>
      </c>
      <c r="E30">
        <v>11380328.550000001</v>
      </c>
      <c r="F30">
        <f>hits[[#This Row],[volume]]/hits[[#This Row],[vol_ma]]</f>
        <v>14.486789838769637</v>
      </c>
      <c r="G30" t="s">
        <v>33</v>
      </c>
    </row>
    <row r="31" spans="1:7" x14ac:dyDescent="0.25">
      <c r="A31" s="1" t="s">
        <v>26</v>
      </c>
      <c r="B31" s="2">
        <v>45940.291666666664</v>
      </c>
      <c r="C31">
        <v>0.92872039898281311</v>
      </c>
      <c r="D31">
        <v>2093767.574</v>
      </c>
      <c r="E31">
        <v>341481.41924999998</v>
      </c>
      <c r="F31">
        <f>hits[[#This Row],[volume]]/hits[[#This Row],[vol_ma]]</f>
        <v>6.1314245987338598</v>
      </c>
      <c r="G31" t="s">
        <v>34</v>
      </c>
    </row>
    <row r="32" spans="1:7" x14ac:dyDescent="0.25">
      <c r="A32" s="1" t="s">
        <v>27</v>
      </c>
      <c r="B32" s="2">
        <v>45940.291666666664</v>
      </c>
      <c r="C32">
        <v>0.92290627379508305</v>
      </c>
      <c r="D32">
        <v>1209022560</v>
      </c>
      <c r="E32">
        <v>180951015.99000001</v>
      </c>
      <c r="F32">
        <f>hits[[#This Row],[volume]]/hits[[#This Row],[vol_ma]]</f>
        <v>6.6814908630676868</v>
      </c>
      <c r="G32" t="s">
        <v>35</v>
      </c>
    </row>
    <row r="33" spans="1:7" x14ac:dyDescent="0.25">
      <c r="A33" s="1" t="s">
        <v>28</v>
      </c>
      <c r="B33" s="2">
        <v>45940.291666666664</v>
      </c>
      <c r="C33">
        <v>0.97333373875355378</v>
      </c>
      <c r="D33">
        <v>826356635.39999998</v>
      </c>
      <c r="E33">
        <v>98794697.284999996</v>
      </c>
      <c r="F33">
        <f>hits[[#This Row],[volume]]/hits[[#This Row],[vol_ma]]</f>
        <v>8.364382483162542</v>
      </c>
      <c r="G33" t="s">
        <v>36</v>
      </c>
    </row>
    <row r="34" spans="1:7" x14ac:dyDescent="0.25">
      <c r="A34" s="1" t="s">
        <v>29</v>
      </c>
      <c r="B34" s="2">
        <v>45941.291666666664</v>
      </c>
      <c r="C34">
        <v>0.77334676341094222</v>
      </c>
      <c r="D34">
        <v>155589405.5</v>
      </c>
      <c r="E34">
        <v>12535300.715</v>
      </c>
      <c r="F34">
        <f>hits[[#This Row],[volume]]/hits[[#This Row],[vol_ma]]</f>
        <v>12.412099959741573</v>
      </c>
      <c r="G34" t="s">
        <v>37</v>
      </c>
    </row>
    <row r="35" spans="1:7" x14ac:dyDescent="0.25">
      <c r="A35" s="1" t="s">
        <v>21</v>
      </c>
      <c r="B35" s="2">
        <v>45941.291666666664</v>
      </c>
      <c r="C35">
        <v>0.99502561518425814</v>
      </c>
      <c r="D35">
        <v>59380619.43</v>
      </c>
      <c r="E35">
        <v>9364297.1050000004</v>
      </c>
      <c r="F35">
        <f>hits[[#This Row],[volume]]/hits[[#This Row],[vol_ma]]</f>
        <v>6.34117208843087</v>
      </c>
      <c r="G35" t="s">
        <v>38</v>
      </c>
    </row>
    <row r="36" spans="1:7" x14ac:dyDescent="0.25">
      <c r="A36" s="1" t="s">
        <v>18</v>
      </c>
      <c r="B36" s="2">
        <v>45941.291666666664</v>
      </c>
      <c r="C36">
        <v>0.60741352782233604</v>
      </c>
      <c r="D36">
        <v>955859630</v>
      </c>
      <c r="E36">
        <v>143242418.75</v>
      </c>
      <c r="F36">
        <f>hits[[#This Row],[volume]]/hits[[#This Row],[vol_ma]]</f>
        <v>6.6730207318563588</v>
      </c>
      <c r="G36" t="s">
        <v>39</v>
      </c>
    </row>
    <row r="37" spans="1:7" x14ac:dyDescent="0.25">
      <c r="A37" s="1" t="s">
        <v>30</v>
      </c>
      <c r="B37" s="2">
        <v>45941.291666666664</v>
      </c>
      <c r="C37">
        <v>0.99030963011578421</v>
      </c>
      <c r="D37">
        <v>3357397839</v>
      </c>
      <c r="E37">
        <v>75594586.900000006</v>
      </c>
      <c r="F37">
        <f>hits[[#This Row],[volume]]/hits[[#This Row],[vol_ma]]</f>
        <v>44.41320439307804</v>
      </c>
      <c r="G37" t="s">
        <v>40</v>
      </c>
    </row>
    <row r="38" spans="1:7" x14ac:dyDescent="0.25">
      <c r="A38" s="1" t="s">
        <v>30</v>
      </c>
      <c r="B38" s="2">
        <v>45942.291666666664</v>
      </c>
      <c r="C38">
        <v>0.99030963011578421</v>
      </c>
      <c r="D38">
        <v>1564361505</v>
      </c>
      <c r="E38">
        <v>237390223.5</v>
      </c>
      <c r="F38">
        <f>hits[[#This Row],[volume]]/hits[[#This Row],[vol_ma]]</f>
        <v>6.589831215184816</v>
      </c>
      <c r="G38" t="s">
        <v>41</v>
      </c>
    </row>
    <row r="39" spans="1:7" x14ac:dyDescent="0.25">
      <c r="A39" s="1" t="s">
        <v>31</v>
      </c>
      <c r="B39" s="2">
        <v>45943.291666666664</v>
      </c>
      <c r="C39">
        <v>0.88909159845713448</v>
      </c>
      <c r="D39">
        <v>72690386.700000003</v>
      </c>
      <c r="E39">
        <v>11994910</v>
      </c>
      <c r="F39">
        <f>hits[[#This Row],[volume]]/hits[[#This Row],[vol_ma]]</f>
        <v>6.0601027185697935</v>
      </c>
    </row>
    <row r="40" spans="1:7" x14ac:dyDescent="0.25">
      <c r="A40" s="1" t="s">
        <v>32</v>
      </c>
      <c r="B40" s="2">
        <v>45943.291666666664</v>
      </c>
      <c r="C40">
        <v>0.916102061619959</v>
      </c>
      <c r="D40">
        <v>6950249998</v>
      </c>
      <c r="E40">
        <v>695830183.54999995</v>
      </c>
      <c r="F40">
        <f>hits[[#This Row],[volume]]/hits[[#This Row],[vol_ma]]</f>
        <v>9.9884284446257841</v>
      </c>
    </row>
    <row r="41" spans="1:7" x14ac:dyDescent="0.25">
      <c r="A41" s="1" t="s">
        <v>33</v>
      </c>
      <c r="B41" s="2">
        <v>45943.291666666664</v>
      </c>
      <c r="C41">
        <v>0.97933012735464187</v>
      </c>
      <c r="D41">
        <v>18398288</v>
      </c>
      <c r="E41">
        <v>1951268.35</v>
      </c>
      <c r="F41">
        <f>hits[[#This Row],[volume]]/hits[[#This Row],[vol_ma]]</f>
        <v>9.4288866008614338</v>
      </c>
    </row>
    <row r="42" spans="1:7" x14ac:dyDescent="0.25">
      <c r="A42" s="1" t="s">
        <v>12</v>
      </c>
      <c r="B42" s="2">
        <v>45943.291666666664</v>
      </c>
      <c r="C42">
        <v>0.73024501220357951</v>
      </c>
      <c r="D42">
        <v>15055896.6</v>
      </c>
      <c r="E42">
        <v>1209793.2450000001</v>
      </c>
      <c r="F42">
        <f>hits[[#This Row],[volume]]/hits[[#This Row],[vol_ma]]</f>
        <v>12.445016255649533</v>
      </c>
    </row>
    <row r="43" spans="1:7" x14ac:dyDescent="0.25">
      <c r="A43" s="1" t="s">
        <v>34</v>
      </c>
      <c r="B43" s="2">
        <v>45944.291666666664</v>
      </c>
      <c r="C43">
        <v>0.88008470582228715</v>
      </c>
      <c r="D43">
        <v>1389249320.3</v>
      </c>
      <c r="E43">
        <v>51946986.304999992</v>
      </c>
      <c r="F43">
        <f>hits[[#This Row],[volume]]/hits[[#This Row],[vol_ma]]</f>
        <v>26.743598024016308</v>
      </c>
    </row>
    <row r="44" spans="1:7" x14ac:dyDescent="0.25">
      <c r="A44" s="1" t="s">
        <v>16</v>
      </c>
      <c r="B44" s="2">
        <v>45944.291666666664</v>
      </c>
      <c r="C44">
        <v>0.82864960554578415</v>
      </c>
      <c r="D44">
        <v>187586967</v>
      </c>
      <c r="E44">
        <v>26797292.550000001</v>
      </c>
      <c r="F44">
        <f>hits[[#This Row],[volume]]/hits[[#This Row],[vol_ma]]</f>
        <v>7.0002208861208253</v>
      </c>
    </row>
    <row r="45" spans="1:7" x14ac:dyDescent="0.25">
      <c r="A45" s="1" t="s">
        <v>35</v>
      </c>
      <c r="B45" s="2">
        <v>45945.291666666664</v>
      </c>
      <c r="C45">
        <v>0.97835846610451349</v>
      </c>
      <c r="D45">
        <v>366250060.60000002</v>
      </c>
      <c r="E45">
        <v>35882139.969999999</v>
      </c>
      <c r="F45">
        <f>hits[[#This Row],[volume]]/hits[[#This Row],[vol_ma]]</f>
        <v>10.207029483364451</v>
      </c>
    </row>
    <row r="46" spans="1:7" x14ac:dyDescent="0.25">
      <c r="A46" s="1" t="s">
        <v>16</v>
      </c>
      <c r="B46" s="2">
        <v>45945.291666666664</v>
      </c>
      <c r="C46">
        <v>0.82864960554578415</v>
      </c>
      <c r="D46">
        <v>219264306</v>
      </c>
      <c r="E46">
        <v>35518534.200000003</v>
      </c>
      <c r="F46">
        <f>hits[[#This Row],[volume]]/hits[[#This Row],[vol_ma]]</f>
        <v>6.1732363381144255</v>
      </c>
    </row>
    <row r="47" spans="1:7" x14ac:dyDescent="0.25">
      <c r="A47" s="1" t="s">
        <v>29</v>
      </c>
      <c r="B47" s="2">
        <v>45946.291666666664</v>
      </c>
      <c r="C47">
        <v>0.61569836111519727</v>
      </c>
      <c r="D47">
        <v>173291209</v>
      </c>
      <c r="E47">
        <v>25000767.455000002</v>
      </c>
      <c r="F47">
        <f>hits[[#This Row],[volume]]/hits[[#This Row],[vol_ma]]</f>
        <v>6.9314355774043568</v>
      </c>
    </row>
    <row r="48" spans="1:7" x14ac:dyDescent="0.25">
      <c r="A48" s="1" t="s">
        <v>31</v>
      </c>
      <c r="B48" s="2">
        <v>45946.291666666664</v>
      </c>
      <c r="C48">
        <v>0.88909159845713448</v>
      </c>
      <c r="D48">
        <v>297472888.89999998</v>
      </c>
      <c r="E48">
        <v>20916859.369999997</v>
      </c>
      <c r="F48">
        <f>hits[[#This Row],[volume]]/hits[[#This Row],[vol_ma]]</f>
        <v>14.221680398475616</v>
      </c>
    </row>
    <row r="49" spans="1:6" x14ac:dyDescent="0.25">
      <c r="A49" s="1" t="s">
        <v>20</v>
      </c>
      <c r="B49" s="2">
        <v>45948.291666666664</v>
      </c>
      <c r="C49">
        <v>0.89064160149709426</v>
      </c>
      <c r="D49">
        <v>1346523.2350000001</v>
      </c>
      <c r="E49">
        <v>129919.62479999999</v>
      </c>
      <c r="F49">
        <f>hits[[#This Row],[volume]]/hits[[#This Row],[vol_ma]]</f>
        <v>10.364278969192345</v>
      </c>
    </row>
    <row r="50" spans="1:6" x14ac:dyDescent="0.25">
      <c r="A50" s="1" t="s">
        <v>36</v>
      </c>
      <c r="B50" s="2">
        <v>45949.291666666664</v>
      </c>
      <c r="C50">
        <v>0.83385817488076119</v>
      </c>
      <c r="D50">
        <v>274710.908</v>
      </c>
      <c r="E50">
        <v>31853.045049999997</v>
      </c>
      <c r="F50">
        <f>hits[[#This Row],[volume]]/hits[[#This Row],[vol_ma]]</f>
        <v>8.624321711433991</v>
      </c>
    </row>
    <row r="51" spans="1:6" x14ac:dyDescent="0.25">
      <c r="A51" s="1" t="s">
        <v>20</v>
      </c>
      <c r="B51" s="2">
        <v>45949.291666666664</v>
      </c>
      <c r="C51">
        <v>0.89064160149709426</v>
      </c>
      <c r="D51">
        <v>7625314.9510000004</v>
      </c>
      <c r="E51">
        <v>194148.20155000003</v>
      </c>
      <c r="F51">
        <f>hits[[#This Row],[volume]]/hits[[#This Row],[vol_ma]]</f>
        <v>39.275743427559959</v>
      </c>
    </row>
    <row r="52" spans="1:6" x14ac:dyDescent="0.25">
      <c r="A52" s="1" t="s">
        <v>37</v>
      </c>
      <c r="B52" s="2">
        <v>45954.291666666664</v>
      </c>
      <c r="C52">
        <v>0.73215189180887008</v>
      </c>
      <c r="D52">
        <v>48620457.450000003</v>
      </c>
      <c r="E52">
        <v>7119102.6129999999</v>
      </c>
      <c r="F52">
        <f>hits[[#This Row],[volume]]/hits[[#This Row],[vol_ma]]</f>
        <v>6.8295767167642039</v>
      </c>
    </row>
    <row r="53" spans="1:6" x14ac:dyDescent="0.25">
      <c r="A53" s="1" t="s">
        <v>22</v>
      </c>
      <c r="B53" s="2">
        <v>45962.291666666664</v>
      </c>
      <c r="C53">
        <v>0.91647329195614669</v>
      </c>
      <c r="D53">
        <v>4141626.32</v>
      </c>
      <c r="E53">
        <v>438557.3175</v>
      </c>
      <c r="F53">
        <f>hits[[#This Row],[volume]]/hits[[#This Row],[vol_ma]]</f>
        <v>9.4437514886523353</v>
      </c>
    </row>
    <row r="54" spans="1:6" x14ac:dyDescent="0.25">
      <c r="A54" s="1" t="s">
        <v>22</v>
      </c>
      <c r="B54" s="2">
        <v>45963.291666666664</v>
      </c>
      <c r="C54">
        <v>0.91647329195614669</v>
      </c>
      <c r="D54">
        <v>4405708.5999999996</v>
      </c>
      <c r="E54">
        <v>571621.21600000001</v>
      </c>
      <c r="F54">
        <f>hits[[#This Row],[volume]]/hits[[#This Row],[vol_ma]]</f>
        <v>7.707391672460246</v>
      </c>
    </row>
    <row r="55" spans="1:6" x14ac:dyDescent="0.25">
      <c r="A55" s="1" t="s">
        <v>38</v>
      </c>
      <c r="B55" s="2">
        <v>45964.291666666664</v>
      </c>
      <c r="C55">
        <v>0.86905286305059126</v>
      </c>
      <c r="D55">
        <v>546351.15700000001</v>
      </c>
      <c r="E55">
        <v>32277.849400000006</v>
      </c>
      <c r="F55">
        <f>hits[[#This Row],[volume]]/hits[[#This Row],[vol_ma]]</f>
        <v>16.926504310414185</v>
      </c>
    </row>
    <row r="56" spans="1:6" x14ac:dyDescent="0.25">
      <c r="A56" s="1" t="s">
        <v>39</v>
      </c>
      <c r="B56" s="2">
        <v>45964.291666666664</v>
      </c>
      <c r="C56">
        <v>0.88157412472327179</v>
      </c>
      <c r="D56">
        <v>37595490.299999997</v>
      </c>
      <c r="E56">
        <v>6119518.3499999996</v>
      </c>
      <c r="F56">
        <f>hits[[#This Row],[volume]]/hits[[#This Row],[vol_ma]]</f>
        <v>6.1435374730104373</v>
      </c>
    </row>
    <row r="57" spans="1:6" x14ac:dyDescent="0.25">
      <c r="A57" s="1" t="s">
        <v>40</v>
      </c>
      <c r="B57" s="2">
        <v>45964.291666666664</v>
      </c>
      <c r="C57">
        <v>0.15562382509486489</v>
      </c>
      <c r="D57">
        <v>4215920</v>
      </c>
      <c r="E57">
        <v>474834.55</v>
      </c>
      <c r="F57">
        <f>hits[[#This Row],[volume]]/hits[[#This Row],[vol_ma]]</f>
        <v>8.8787136487856664</v>
      </c>
    </row>
    <row r="58" spans="1:6" x14ac:dyDescent="0.25">
      <c r="A58" s="1" t="s">
        <v>39</v>
      </c>
      <c r="B58" s="2">
        <v>45965.291666666664</v>
      </c>
      <c r="C58">
        <v>0.88157412472327179</v>
      </c>
      <c r="D58">
        <v>64550675.700000003</v>
      </c>
      <c r="E58">
        <v>7595587.7199999988</v>
      </c>
      <c r="F58">
        <f>hits[[#This Row],[volume]]/hits[[#This Row],[vol_ma]]</f>
        <v>8.4984438439215353</v>
      </c>
    </row>
    <row r="59" spans="1:6" x14ac:dyDescent="0.25">
      <c r="A59" s="1" t="s">
        <v>38</v>
      </c>
      <c r="B59" s="2">
        <v>45965.291666666664</v>
      </c>
      <c r="C59">
        <v>0.86905286305059126</v>
      </c>
      <c r="D59">
        <v>1504685.551</v>
      </c>
      <c r="E59">
        <v>58093.073850000001</v>
      </c>
      <c r="F59">
        <f>hits[[#This Row],[volume]]/hits[[#This Row],[vol_ma]]</f>
        <v>25.901289969354927</v>
      </c>
    </row>
    <row r="60" spans="1:6" x14ac:dyDescent="0.25">
      <c r="A60" s="1" t="s">
        <v>41</v>
      </c>
      <c r="B60" s="2">
        <v>45968.291666666664</v>
      </c>
      <c r="C60">
        <v>0.69506831872429176</v>
      </c>
      <c r="D60">
        <v>504590293.38999999</v>
      </c>
      <c r="E60">
        <v>78255563.265000001</v>
      </c>
      <c r="F60">
        <f>hits[[#This Row],[volume]]/hits[[#This Row],[vol_ma]]</f>
        <v>6.4479798283642191</v>
      </c>
    </row>
  </sheetData>
  <conditionalFormatting sqref="A1:A1048576">
    <cfRule type="duplicateValues" dxfId="1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31A55-4E02-4E4D-AC19-3413C6D6D466}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47C624-6F5F-4121-84AC-276C36E68E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Dũng Trần</dc:creator>
  <cp:lastModifiedBy>Dũng Trần</cp:lastModifiedBy>
  <dcterms:created xsi:type="dcterms:W3CDTF">2025-11-08T01:22:11Z</dcterms:created>
  <dcterms:modified xsi:type="dcterms:W3CDTF">2025-11-08T01:27:46Z</dcterms:modified>
</cp:coreProperties>
</file>